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oyse\Documents\"/>
    </mc:Choice>
  </mc:AlternateContent>
  <xr:revisionPtr revIDLastSave="0" documentId="13_ncr:1_{F96886A5-D963-4039-861F-0C7BFC071B8B}" xr6:coauthVersionLast="47" xr6:coauthVersionMax="47" xr10:uidLastSave="{00000000-0000-0000-0000-000000000000}"/>
  <bookViews>
    <workbookView xWindow="-120" yWindow="-120" windowWidth="29040" windowHeight="15840" xr2:uid="{82C3ACC3-DCC0-416F-A34A-91D020FC20E7}"/>
  </bookViews>
  <sheets>
    <sheet name="App" sheetId="1" r:id="rId1"/>
    <sheet name="Perfil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C24" i="1"/>
  <c r="D24" i="1" s="1"/>
  <c r="B5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4" i="2"/>
  <c r="C35" i="1" s="1"/>
  <c r="C31" i="1"/>
  <c r="C28" i="1"/>
  <c r="D28" i="1" s="1"/>
  <c r="C27" i="1"/>
  <c r="D27" i="1" s="1"/>
  <c r="C26" i="1"/>
  <c r="D26" i="1" s="1"/>
  <c r="C25" i="1"/>
  <c r="D25" i="1" s="1"/>
  <c r="D20" i="1"/>
  <c r="D21" i="1" s="1"/>
  <c r="D35" i="1" l="1"/>
  <c r="H5" i="2"/>
  <c r="C38" i="1"/>
  <c r="D38" i="1" s="1"/>
  <c r="C37" i="1"/>
  <c r="D37" i="1" s="1"/>
  <c r="C34" i="1"/>
  <c r="D34" i="1" s="1"/>
  <c r="C36" i="1"/>
  <c r="D36" i="1" s="1"/>
  <c r="C39" i="1"/>
  <c r="D39" i="1" s="1"/>
  <c r="D40" i="1" l="1"/>
</calcChain>
</file>

<file path=xl/sharedStrings.xml><?xml version="1.0" encoding="utf-8"?>
<sst xmlns="http://schemas.openxmlformats.org/spreadsheetml/2006/main" count="72" uniqueCount="37">
  <si>
    <t>Salário</t>
  </si>
  <si>
    <t>Rendimento Carteira</t>
  </si>
  <si>
    <t>Sugestão de Investimento (30%)</t>
  </si>
  <si>
    <t>Quanto investir por mês ?</t>
  </si>
  <si>
    <t>Patrimônio acumulado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</si>
  <si>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</si>
  <si>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</si>
  <si>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</si>
  <si>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</si>
  <si>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</si>
  <si>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</si>
  <si>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</si>
  <si>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</si>
  <si>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</si>
  <si>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</si>
  <si>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</si>
  <si>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</si>
  <si>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</si>
  <si>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</si>
  <si>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</si>
  <si>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</si>
  <si>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</si>
  <si>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</si>
  <si>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</si>
  <si>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</si>
  <si>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Agressivo</t>
  </si>
  <si>
    <t>CHAVE</t>
  </si>
  <si>
    <t>%</t>
  </si>
  <si>
    <t>Tipo</t>
  </si>
  <si>
    <t>Taxa %</t>
  </si>
  <si>
    <t>Configurações</t>
  </si>
  <si>
    <t>Investimento Mensal</t>
  </si>
  <si>
    <t>Por quantos anos ?</t>
  </si>
  <si>
    <t>Taxa de rendimento mensal ?</t>
  </si>
  <si>
    <t>Dividendos mensais ?</t>
  </si>
  <si>
    <t>Tipo de FII</t>
  </si>
  <si>
    <t>Conservador-TIJOLO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</si>
</sst>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1"/>
      <color theme="0" tint="-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2">
    <xf numFmtId="0" fontId="0" fillId="0" borderId="0" xfId="0"/>
    <xf numFmtId="0" fontId="7" fillId="0" borderId="0" xfId="0" applyFont="1"/>
    <xf numFmtId="0" fontId="4" fillId="4" borderId="3" xfId="0" applyFont="1" applyFill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0" fontId="6" fillId="0" borderId="9" xfId="0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0" fontId="5" fillId="0" borderId="9" xfId="0" applyNumberFormat="1" applyFont="1" applyBorder="1" applyAlignment="1">
      <alignment horizontal="center"/>
    </xf>
    <xf numFmtId="0" fontId="8" fillId="3" borderId="15" xfId="0" applyFont="1" applyFill="1" applyBorder="1"/>
    <xf numFmtId="164" fontId="8" fillId="3" borderId="17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0" fontId="0" fillId="0" borderId="15" xfId="0" applyBorder="1"/>
    <xf numFmtId="9" fontId="0" fillId="0" borderId="17" xfId="0" applyNumberForma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13" xfId="0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9" fontId="0" fillId="0" borderId="14" xfId="0" applyNumberForma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0" fillId="7" borderId="1" xfId="3" applyFont="1" applyFill="1" applyBorder="1" applyAlignment="1">
      <alignment horizontal="center"/>
    </xf>
    <xf numFmtId="0" fontId="11" fillId="7" borderId="3" xfId="3" applyFont="1" applyFill="1" applyBorder="1" applyAlignment="1">
      <alignment horizontal="center"/>
    </xf>
    <xf numFmtId="8" fontId="6" fillId="5" borderId="9" xfId="0" applyNumberFormat="1" applyFont="1" applyFill="1" applyBorder="1" applyAlignment="1">
      <alignment horizontal="center"/>
    </xf>
    <xf numFmtId="8" fontId="6" fillId="5" borderId="12" xfId="0" applyNumberFormat="1" applyFont="1" applyFill="1" applyBorder="1" applyAlignment="1">
      <alignment horizontal="center"/>
    </xf>
    <xf numFmtId="0" fontId="5" fillId="8" borderId="7" xfId="0" applyFont="1" applyFill="1" applyBorder="1" applyAlignment="1">
      <alignment horizontal="left" indent="3"/>
    </xf>
    <xf numFmtId="0" fontId="5" fillId="8" borderId="10" xfId="0" applyFont="1" applyFill="1" applyBorder="1" applyAlignment="1">
      <alignment horizontal="left" indent="3"/>
    </xf>
    <xf numFmtId="8" fontId="5" fillId="8" borderId="18" xfId="0" applyNumberFormat="1" applyFont="1" applyFill="1" applyBorder="1" applyAlignment="1">
      <alignment horizontal="center"/>
    </xf>
    <xf numFmtId="8" fontId="5" fillId="8" borderId="19" xfId="0" applyNumberFormat="1" applyFont="1" applyFill="1" applyBorder="1" applyAlignment="1">
      <alignment horizontal="center"/>
    </xf>
    <xf numFmtId="8" fontId="5" fillId="8" borderId="14" xfId="0" applyNumberFormat="1" applyFont="1" applyFill="1" applyBorder="1" applyAlignment="1">
      <alignment horizontal="center"/>
    </xf>
    <xf numFmtId="8" fontId="5" fillId="8" borderId="17" xfId="0" applyNumberFormat="1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9" fontId="9" fillId="9" borderId="0" xfId="0" applyNumberFormat="1" applyFont="1" applyFill="1" applyBorder="1" applyAlignment="1">
      <alignment horizontal="center"/>
    </xf>
    <xf numFmtId="164" fontId="9" fillId="9" borderId="14" xfId="0" applyNumberFormat="1" applyFont="1" applyFill="1" applyBorder="1" applyAlignment="1">
      <alignment horizontal="center"/>
    </xf>
    <xf numFmtId="0" fontId="8" fillId="9" borderId="15" xfId="0" applyFont="1" applyFill="1" applyBorder="1"/>
    <xf numFmtId="0" fontId="8" fillId="9" borderId="16" xfId="0" applyFont="1" applyFill="1" applyBorder="1"/>
    <xf numFmtId="164" fontId="8" fillId="9" borderId="17" xfId="0" applyNumberFormat="1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indent="3"/>
    </xf>
    <xf numFmtId="0" fontId="5" fillId="3" borderId="5" xfId="0" applyFont="1" applyFill="1" applyBorder="1" applyAlignment="1">
      <alignment horizontal="left" indent="3"/>
    </xf>
    <xf numFmtId="0" fontId="5" fillId="3" borderId="7" xfId="0" applyFont="1" applyFill="1" applyBorder="1" applyAlignment="1">
      <alignment horizontal="left" indent="3"/>
    </xf>
    <xf numFmtId="0" fontId="5" fillId="3" borderId="8" xfId="0" applyFont="1" applyFill="1" applyBorder="1" applyAlignment="1">
      <alignment horizontal="left" indent="3"/>
    </xf>
    <xf numFmtId="0" fontId="6" fillId="5" borderId="10" xfId="0" applyFont="1" applyFill="1" applyBorder="1" applyAlignment="1">
      <alignment horizontal="left" indent="3"/>
    </xf>
    <xf numFmtId="0" fontId="6" fillId="5" borderId="11" xfId="0" applyFont="1" applyFill="1" applyBorder="1" applyAlignment="1">
      <alignment horizontal="left" indent="3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indent="3"/>
    </xf>
    <xf numFmtId="0" fontId="6" fillId="5" borderId="8" xfId="0" applyFont="1" applyFill="1" applyBorder="1" applyAlignment="1">
      <alignment horizontal="left" indent="3"/>
    </xf>
    <xf numFmtId="0" fontId="9" fillId="11" borderId="15" xfId="3" applyFont="1" applyFill="1" applyBorder="1"/>
    <xf numFmtId="9" fontId="9" fillId="11" borderId="17" xfId="2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1">
    <dxf>
      <font>
        <b/>
        <i val="0"/>
        <color auto="1"/>
      </font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796285860785779"/>
          <c:y val="7.1033268907797334E-2"/>
          <c:w val="0.55984059052579738"/>
          <c:h val="0.89056673754259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23-4C4F-992C-A0866CF6593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C23-4C4F-992C-A0866CF6593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C23-4C4F-992C-A0866CF6593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C23-4C4F-992C-A0866CF6593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C23-4C4F-992C-A0866CF65933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C23-4C4F-992C-A0866CF659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</c:v>
                </c:pt>
                <c:pt idx="1">
                  <c:v>0.35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B-4400-A8D3-31284EE09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7815887134030876E-2"/>
          <c:y val="0.10906505254550299"/>
          <c:w val="0.34775471247912193"/>
          <c:h val="0.76906956110117608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390524</xdr:colOff>
      <xdr:row>41</xdr:row>
      <xdr:rowOff>33336</xdr:rowOff>
    </xdr:from>
    <xdr:to>
      <xdr:col>4</xdr:col>
      <xdr:colOff>276224</xdr:colOff>
      <xdr:row>56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13DA196-A46D-A8AC-2019-A77BAC87C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1144681</xdr:colOff>
      <xdr:row>0</xdr:row>
      <xdr:rowOff>101974</xdr:rowOff>
    </xdr:from>
    <xdr:to>
      <xdr:col>2</xdr:col>
      <xdr:colOff>1070722</xdr:colOff>
      <xdr:row>9</xdr:row>
      <xdr:rowOff>127927</xdr:rowOff>
    </xdr:to>
    <xdr:pic>
      <xdr:nvPicPr>
        <xdr:cNvPr id="2" name="logo">
          <a:extLst>
            <a:ext uri="{FF2B5EF4-FFF2-40B4-BE49-F238E27FC236}">
              <a16:creationId xmlns:a16="http://schemas.microsoft.com/office/drawing/2014/main" id="{2F5D4D8B-C532-F486-CF19-87FA45CAF0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76" t="19622" r="32122" b="26163"/>
        <a:stretch/>
      </xdr:blipFill>
      <xdr:spPr bwMode="auto">
        <a:xfrm>
          <a:off x="1749799" y="101974"/>
          <a:ext cx="2301688" cy="1740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3142-A9C8-48AC-8906-D396ADCB890E}">
  <dimension ref="A10:D40"/>
  <sheetViews>
    <sheetView showGridLines="0" showRowColHeaders="0" tabSelected="1" zoomScale="85" zoomScaleNormal="85" workbookViewId="0"/>
  </sheetViews>
  <sheetFormatPr defaultRowHeight="15" x14ac:dyDescent="0.25"/>
  <cols>
    <col min="1" max="1" width="4.85546875" customWidth="1"/>
    <col min="2" max="2" width="35.5703125" bestFit="1" customWidth="1"/>
    <col min="3" max="3" width="24.28515625" customWidth="1"/>
    <col min="4" max="4" width="17.42578125" bestFit="1" customWidth="1"/>
  </cols>
  <sheetData>
    <row r="10" spans="2:4" ht="15.75" thickBot="1" x14ac:dyDescent="0.3"/>
    <row r="11" spans="2:4" ht="26.25" x14ac:dyDescent="0.25">
      <c r="B11" s="46" t="s">
        <v>30</v>
      </c>
      <c r="C11" s="47"/>
      <c r="D11" s="48"/>
    </row>
    <row r="12" spans="2:4" ht="17.25" x14ac:dyDescent="0.3">
      <c r="B12" s="49" t="s">
        <v>0</v>
      </c>
      <c r="C12" s="50"/>
      <c r="D12" s="6">
        <v>3000</v>
      </c>
    </row>
    <row r="13" spans="2:4" ht="17.25" x14ac:dyDescent="0.3">
      <c r="B13" s="51" t="s">
        <v>1</v>
      </c>
      <c r="C13" s="52"/>
      <c r="D13" s="7">
        <v>6.0000000000000001E-3</v>
      </c>
    </row>
    <row r="14" spans="2:4" ht="18" thickBot="1" x14ac:dyDescent="0.35">
      <c r="B14" s="53" t="s">
        <v>2</v>
      </c>
      <c r="C14" s="54"/>
      <c r="D14" s="30">
        <f>D12*30%</f>
        <v>900</v>
      </c>
    </row>
    <row r="15" spans="2:4" ht="15.75" thickBot="1" x14ac:dyDescent="0.3"/>
    <row r="16" spans="2:4" ht="26.25" x14ac:dyDescent="0.25">
      <c r="B16" s="55" t="s">
        <v>31</v>
      </c>
      <c r="C16" s="56"/>
      <c r="D16" s="57"/>
    </row>
    <row r="17" spans="1:4" ht="17.25" x14ac:dyDescent="0.3">
      <c r="B17" s="49" t="s">
        <v>3</v>
      </c>
      <c r="C17" s="50"/>
      <c r="D17" s="3">
        <v>400</v>
      </c>
    </row>
    <row r="18" spans="1:4" ht="17.25" x14ac:dyDescent="0.3">
      <c r="A18" s="1">
        <v>2</v>
      </c>
      <c r="B18" s="51" t="s">
        <v>32</v>
      </c>
      <c r="C18" s="52"/>
      <c r="D18" s="4">
        <v>4</v>
      </c>
    </row>
    <row r="19" spans="1:4" ht="17.25" x14ac:dyDescent="0.3">
      <c r="A19" s="1">
        <v>5</v>
      </c>
      <c r="B19" s="51" t="s">
        <v>33</v>
      </c>
      <c r="C19" s="52"/>
      <c r="D19" s="5">
        <v>1.0789999999999999E-2</v>
      </c>
    </row>
    <row r="20" spans="1:4" ht="17.25" x14ac:dyDescent="0.3">
      <c r="A20" s="1">
        <v>10</v>
      </c>
      <c r="B20" s="58" t="s">
        <v>4</v>
      </c>
      <c r="C20" s="59"/>
      <c r="D20" s="29">
        <f>FV(taxa_mensal,qtd_anos*12,aporte*-1)</f>
        <v>24981.741196644063</v>
      </c>
    </row>
    <row r="21" spans="1:4" ht="18" thickBot="1" x14ac:dyDescent="0.35">
      <c r="A21" s="1">
        <v>20</v>
      </c>
      <c r="B21" s="53" t="s">
        <v>34</v>
      </c>
      <c r="C21" s="54"/>
      <c r="D21" s="30">
        <f>patrimonio*rendimento_carteira</f>
        <v>149.8904471798644</v>
      </c>
    </row>
    <row r="22" spans="1:4" ht="15.75" thickBot="1" x14ac:dyDescent="0.3">
      <c r="A22" s="1">
        <v>30</v>
      </c>
    </row>
    <row r="23" spans="1:4" ht="26.25" x14ac:dyDescent="0.25">
      <c r="B23" s="55" t="s">
        <v>5</v>
      </c>
      <c r="C23" s="56"/>
      <c r="D23" s="2" t="s">
        <v>6</v>
      </c>
    </row>
    <row r="24" spans="1:4" ht="17.25" x14ac:dyDescent="0.3">
      <c r="A24" s="1">
        <v>2</v>
      </c>
      <c r="B24" s="31" t="s">
        <v>7</v>
      </c>
      <c r="C24" s="33">
        <f>FV($D$19,$A24*12,$D$17*-1)</f>
        <v>10891.050919058087</v>
      </c>
      <c r="D24" s="35">
        <f>C24*rendimento_carteira</f>
        <v>65.346305514348529</v>
      </c>
    </row>
    <row r="25" spans="1:4" ht="17.25" x14ac:dyDescent="0.3">
      <c r="A25" s="1">
        <v>5</v>
      </c>
      <c r="B25" s="31" t="s">
        <v>8</v>
      </c>
      <c r="C25" s="33">
        <f>FV($D$19,$A25*12,$D$17*-1)</f>
        <v>33510.765599395054</v>
      </c>
      <c r="D25" s="35">
        <f>C25*rendimento_carteira</f>
        <v>201.06459359637032</v>
      </c>
    </row>
    <row r="26" spans="1:4" ht="17.25" x14ac:dyDescent="0.3">
      <c r="A26" s="1">
        <v>10</v>
      </c>
      <c r="B26" s="31" t="s">
        <v>9</v>
      </c>
      <c r="C26" s="33">
        <f>FV($D$19,$A26*12,$D$17*-1)</f>
        <v>97313.685012068876</v>
      </c>
      <c r="D26" s="35">
        <f>C26*rendimento_carteira</f>
        <v>583.8821100724133</v>
      </c>
    </row>
    <row r="27" spans="1:4" ht="17.25" x14ac:dyDescent="0.3">
      <c r="A27" s="1">
        <v>20</v>
      </c>
      <c r="B27" s="31" t="s">
        <v>10</v>
      </c>
      <c r="C27" s="33">
        <f>FV($D$19,$A27*12,$D$17*-1)</f>
        <v>450079.36003883224</v>
      </c>
      <c r="D27" s="35">
        <f>C27*rendimento_carteira</f>
        <v>2700.4761602329936</v>
      </c>
    </row>
    <row r="28" spans="1:4" ht="18" thickBot="1" x14ac:dyDescent="0.35">
      <c r="A28" s="1">
        <v>30</v>
      </c>
      <c r="B28" s="32" t="s">
        <v>11</v>
      </c>
      <c r="C28" s="34">
        <f>FV($D$19,$A28*12,$D$17*-1)</f>
        <v>1728867.8620018859</v>
      </c>
      <c r="D28" s="36">
        <f>C28*rendimento_carteira</f>
        <v>10373.207172011316</v>
      </c>
    </row>
    <row r="29" spans="1:4" ht="15.75" thickBot="1" x14ac:dyDescent="0.3"/>
    <row r="30" spans="1:4" ht="15.75" x14ac:dyDescent="0.25">
      <c r="B30" s="27" t="s">
        <v>12</v>
      </c>
      <c r="C30" s="28" t="s">
        <v>13</v>
      </c>
    </row>
    <row r="31" spans="1:4" ht="16.5" thickBot="1" x14ac:dyDescent="0.3">
      <c r="B31" s="8" t="s">
        <v>14</v>
      </c>
      <c r="C31" s="9">
        <f>aporte</f>
        <v>400</v>
      </c>
    </row>
    <row r="32" spans="1:4" ht="15.75" thickBot="1" x14ac:dyDescent="0.3"/>
    <row r="33" spans="2:4" ht="18.75" x14ac:dyDescent="0.3">
      <c r="B33" s="43" t="s">
        <v>35</v>
      </c>
      <c r="C33" s="44" t="s">
        <v>16</v>
      </c>
      <c r="D33" s="45" t="s">
        <v>17</v>
      </c>
    </row>
    <row r="34" spans="2:4" ht="15.75" x14ac:dyDescent="0.25">
      <c r="B34" s="37" t="s">
        <v>18</v>
      </c>
      <c r="C34" s="38">
        <f>VLOOKUP($C$30&amp;"-"&amp;B34,Perfil!$B:$E,4,FALSE)</f>
        <v>0.3</v>
      </c>
      <c r="D34" s="39">
        <f>C34*$C$31</f>
        <v>120</v>
      </c>
    </row>
    <row r="35" spans="2:4" ht="15.75" x14ac:dyDescent="0.25">
      <c r="B35" s="37" t="s">
        <v>19</v>
      </c>
      <c r="C35" s="38">
        <f>VLOOKUP($C$30&amp;"-"&amp;B35,Perfil!$B:$E,4,FALSE)</f>
        <v>0.35</v>
      </c>
      <c r="D35" s="39">
        <f t="shared" ref="D35:D39" si="0">C35*$C$31</f>
        <v>140</v>
      </c>
    </row>
    <row r="36" spans="2:4" ht="15.75" x14ac:dyDescent="0.25">
      <c r="B36" s="37" t="s">
        <v>20</v>
      </c>
      <c r="C36" s="38">
        <f>VLOOKUP($C$30&amp;"-"&amp;B36,Perfil!$B:$E,4,FALSE)</f>
        <v>0.1</v>
      </c>
      <c r="D36" s="39">
        <f t="shared" si="0"/>
        <v>40</v>
      </c>
    </row>
    <row r="37" spans="2:4" ht="15.75" x14ac:dyDescent="0.25">
      <c r="B37" s="37" t="s">
        <v>21</v>
      </c>
      <c r="C37" s="38">
        <f>VLOOKUP($C$30&amp;"-"&amp;B37,Perfil!$B:$E,4,FALSE)</f>
        <v>0.1</v>
      </c>
      <c r="D37" s="39">
        <f t="shared" si="0"/>
        <v>40</v>
      </c>
    </row>
    <row r="38" spans="2:4" ht="15.75" x14ac:dyDescent="0.25">
      <c r="B38" s="37" t="s">
        <v>22</v>
      </c>
      <c r="C38" s="38">
        <f>VLOOKUP($C$30&amp;"-"&amp;B38,Perfil!$B:$E,4,FALSE)</f>
        <v>0.1</v>
      </c>
      <c r="D38" s="39">
        <f t="shared" si="0"/>
        <v>40</v>
      </c>
    </row>
    <row r="39" spans="2:4" ht="15.75" x14ac:dyDescent="0.25">
      <c r="B39" s="37" t="s">
        <v>23</v>
      </c>
      <c r="C39" s="38">
        <f>VLOOKUP($C$30&amp;"-"&amp;B39,Perfil!$B:$E,4,FALSE)</f>
        <v>0.05</v>
      </c>
      <c r="D39" s="39">
        <f t="shared" si="0"/>
        <v>20</v>
      </c>
    </row>
    <row r="40" spans="2:4" ht="16.5" thickBot="1" x14ac:dyDescent="0.3">
      <c r="B40" s="40"/>
      <c r="C40" s="41"/>
      <c r="D40" s="42">
        <f>SUM(D34:D39)</f>
        <v>400</v>
      </c>
    </row>
  </sheetData>
  <protectedRanges>
    <protectedRange sqref="D12:D13 D17:D19" name="Intervalo"/>
  </protectedRanges>
  <mergeCells count="11">
    <mergeCell ref="B18:C18"/>
    <mergeCell ref="B19:C19"/>
    <mergeCell ref="B20:C20"/>
    <mergeCell ref="B21:C21"/>
    <mergeCell ref="B23:C23"/>
    <mergeCell ref="B11:D11"/>
    <mergeCell ref="B12:C12"/>
    <mergeCell ref="B13:C13"/>
    <mergeCell ref="B14:C14"/>
    <mergeCell ref="B17:C17"/>
    <mergeCell ref="B16:D16"/>
  </mergeCells>
  <dataValidations disablePrompts="1" count="1">
    <dataValidation type="list" allowBlank="1" showInputMessage="1" showErrorMessage="1" sqref="C30" xr:uid="{20788243-9153-45F5-85A3-1553D1CD9AD7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5647B-8F22-4F8E-A2E3-BFE4F65066B8}">
  <dimension ref="B2:H21"/>
  <sheetViews>
    <sheetView showGridLines="0" workbookViewId="0">
      <selection activeCell="G12" sqref="G12"/>
    </sheetView>
  </sheetViews>
  <sheetFormatPr defaultRowHeight="15" x14ac:dyDescent="0.25"/>
  <cols>
    <col min="2" max="2" width="30.85546875" bestFit="1" customWidth="1"/>
    <col min="3" max="3" width="12.140625" bestFit="1" customWidth="1"/>
    <col min="4" max="4" width="18.5703125" bestFit="1" customWidth="1"/>
    <col min="5" max="5" width="4.5703125" bestFit="1" customWidth="1"/>
    <col min="7" max="7" width="20.140625" bestFit="1" customWidth="1"/>
    <col min="8" max="8" width="8.7109375" customWidth="1"/>
  </cols>
  <sheetData>
    <row r="2" spans="2:8" ht="15.75" thickBot="1" x14ac:dyDescent="0.3"/>
    <row r="3" spans="2:8" ht="15.75" thickBot="1" x14ac:dyDescent="0.3">
      <c r="B3" s="26" t="s">
        <v>26</v>
      </c>
      <c r="C3" s="18" t="s">
        <v>12</v>
      </c>
      <c r="D3" s="18" t="s">
        <v>15</v>
      </c>
      <c r="E3" s="19" t="s">
        <v>27</v>
      </c>
    </row>
    <row r="4" spans="2:8" ht="15.75" x14ac:dyDescent="0.25">
      <c r="B4" s="12" t="str">
        <f>C4&amp;"-"&amp;D4</f>
        <v>Conservador-PAPEL</v>
      </c>
      <c r="C4" s="13" t="s">
        <v>24</v>
      </c>
      <c r="D4" s="14" t="s">
        <v>18</v>
      </c>
      <c r="E4" s="15">
        <v>0.35</v>
      </c>
      <c r="G4" s="20" t="s">
        <v>28</v>
      </c>
      <c r="H4" s="21" t="s">
        <v>29</v>
      </c>
    </row>
    <row r="5" spans="2:8" ht="16.5" thickBot="1" x14ac:dyDescent="0.3">
      <c r="B5" s="12" t="str">
        <f>C5&amp;"-"&amp;D5</f>
        <v>Conservador-TIJOLO</v>
      </c>
      <c r="C5" s="13" t="s">
        <v>24</v>
      </c>
      <c r="D5" s="14" t="s">
        <v>19</v>
      </c>
      <c r="E5" s="15">
        <v>0.45</v>
      </c>
      <c r="G5" s="60" t="s">
        <v>36</v>
      </c>
      <c r="H5" s="61">
        <f>VLOOKUP(G5,$B:$E,4,FALSE)</f>
        <v>0.45</v>
      </c>
    </row>
    <row r="6" spans="2:8" x14ac:dyDescent="0.25">
      <c r="B6" s="12" t="str">
        <f t="shared" ref="B6:B21" si="0">C6&amp;"-"&amp;D6</f>
        <v>Conservador-HÍBRIDOS</v>
      </c>
      <c r="C6" s="13" t="s">
        <v>24</v>
      </c>
      <c r="D6" s="14" t="s">
        <v>20</v>
      </c>
      <c r="E6" s="15">
        <v>0.1</v>
      </c>
    </row>
    <row r="7" spans="2:8" x14ac:dyDescent="0.25">
      <c r="B7" s="12" t="str">
        <f t="shared" si="0"/>
        <v>Conservador-FOFs</v>
      </c>
      <c r="C7" s="13" t="s">
        <v>24</v>
      </c>
      <c r="D7" s="14" t="s">
        <v>21</v>
      </c>
      <c r="E7" s="15">
        <v>0.05</v>
      </c>
    </row>
    <row r="8" spans="2:8" x14ac:dyDescent="0.25">
      <c r="B8" s="12" t="str">
        <f t="shared" si="0"/>
        <v>Conservador-DESENVOLVIMENTO</v>
      </c>
      <c r="C8" s="13" t="s">
        <v>24</v>
      </c>
      <c r="D8" s="14" t="s">
        <v>22</v>
      </c>
      <c r="E8" s="15">
        <v>0</v>
      </c>
    </row>
    <row r="9" spans="2:8" ht="15.75" thickBot="1" x14ac:dyDescent="0.3">
      <c r="B9" s="16" t="str">
        <f t="shared" si="0"/>
        <v>Conservador-HOTELARIAS</v>
      </c>
      <c r="C9" s="10" t="s">
        <v>24</v>
      </c>
      <c r="D9" s="11" t="s">
        <v>23</v>
      </c>
      <c r="E9" s="17">
        <v>0.05</v>
      </c>
    </row>
    <row r="10" spans="2:8" x14ac:dyDescent="0.25">
      <c r="B10" s="12" t="str">
        <f t="shared" si="0"/>
        <v>Moderado-PAPEL</v>
      </c>
      <c r="C10" s="13" t="s">
        <v>13</v>
      </c>
      <c r="D10" s="14" t="s">
        <v>18</v>
      </c>
      <c r="E10" s="15">
        <v>0.3</v>
      </c>
    </row>
    <row r="11" spans="2:8" x14ac:dyDescent="0.25">
      <c r="B11" s="22" t="str">
        <f t="shared" si="0"/>
        <v>Moderado-TIJOLO</v>
      </c>
      <c r="C11" s="23" t="s">
        <v>13</v>
      </c>
      <c r="D11" s="24" t="s">
        <v>19</v>
      </c>
      <c r="E11" s="25">
        <v>0.35</v>
      </c>
    </row>
    <row r="12" spans="2:8" x14ac:dyDescent="0.25">
      <c r="B12" s="12" t="str">
        <f t="shared" si="0"/>
        <v>Moderado-HÍBRIDOS</v>
      </c>
      <c r="C12" s="13" t="s">
        <v>13</v>
      </c>
      <c r="D12" s="14" t="s">
        <v>20</v>
      </c>
      <c r="E12" s="15">
        <v>0.1</v>
      </c>
    </row>
    <row r="13" spans="2:8" x14ac:dyDescent="0.25">
      <c r="B13" s="12" t="str">
        <f t="shared" si="0"/>
        <v>Moderado-FOFs</v>
      </c>
      <c r="C13" s="13" t="s">
        <v>13</v>
      </c>
      <c r="D13" s="14" t="s">
        <v>21</v>
      </c>
      <c r="E13" s="15">
        <v>0.1</v>
      </c>
    </row>
    <row r="14" spans="2:8" x14ac:dyDescent="0.25">
      <c r="B14" s="12" t="str">
        <f t="shared" si="0"/>
        <v>Moderado-DESENVOLVIMENTO</v>
      </c>
      <c r="C14" s="13" t="s">
        <v>13</v>
      </c>
      <c r="D14" s="14" t="s">
        <v>22</v>
      </c>
      <c r="E14" s="15">
        <v>0.1</v>
      </c>
    </row>
    <row r="15" spans="2:8" ht="15.75" thickBot="1" x14ac:dyDescent="0.3">
      <c r="B15" s="16" t="str">
        <f t="shared" si="0"/>
        <v>Moderado-HOTELARIAS</v>
      </c>
      <c r="C15" s="10" t="s">
        <v>13</v>
      </c>
      <c r="D15" s="11" t="s">
        <v>23</v>
      </c>
      <c r="E15" s="17">
        <v>0.05</v>
      </c>
    </row>
    <row r="16" spans="2:8" x14ac:dyDescent="0.25">
      <c r="B16" s="12" t="str">
        <f t="shared" si="0"/>
        <v>Agressivo-PAPEL</v>
      </c>
      <c r="C16" s="13" t="s">
        <v>25</v>
      </c>
      <c r="D16" s="14" t="s">
        <v>18</v>
      </c>
      <c r="E16" s="15">
        <v>0.2</v>
      </c>
    </row>
    <row r="17" spans="2:5" x14ac:dyDescent="0.25">
      <c r="B17" s="12" t="str">
        <f t="shared" si="0"/>
        <v>Agressivo-TIJOLO</v>
      </c>
      <c r="C17" s="13" t="s">
        <v>25</v>
      </c>
      <c r="D17" s="14" t="s">
        <v>19</v>
      </c>
      <c r="E17" s="15">
        <v>0.3</v>
      </c>
    </row>
    <row r="18" spans="2:5" x14ac:dyDescent="0.25">
      <c r="B18" s="12" t="str">
        <f t="shared" si="0"/>
        <v>Agressivo-HÍBRIDOS</v>
      </c>
      <c r="C18" s="13" t="s">
        <v>25</v>
      </c>
      <c r="D18" s="14" t="s">
        <v>20</v>
      </c>
      <c r="E18" s="15">
        <v>0.1</v>
      </c>
    </row>
    <row r="19" spans="2:5" x14ac:dyDescent="0.25">
      <c r="B19" s="12" t="str">
        <f t="shared" si="0"/>
        <v>Agressivo-FOFs</v>
      </c>
      <c r="C19" s="13" t="s">
        <v>25</v>
      </c>
      <c r="D19" s="14" t="s">
        <v>21</v>
      </c>
      <c r="E19" s="15">
        <v>0.1</v>
      </c>
    </row>
    <row r="20" spans="2:5" x14ac:dyDescent="0.25">
      <c r="B20" s="12" t="str">
        <f t="shared" si="0"/>
        <v>Agressivo-DESENVOLVIMENTO</v>
      </c>
      <c r="C20" s="13" t="s">
        <v>25</v>
      </c>
      <c r="D20" s="14" t="s">
        <v>22</v>
      </c>
      <c r="E20" s="15">
        <v>0.2</v>
      </c>
    </row>
    <row r="21" spans="2:5" ht="15.75" thickBot="1" x14ac:dyDescent="0.3">
      <c r="B21" s="16" t="str">
        <f t="shared" si="0"/>
        <v>Agressivo-HOTELARIAS</v>
      </c>
      <c r="C21" s="10" t="s">
        <v>25</v>
      </c>
      <c r="D21" s="11" t="s">
        <v>23</v>
      </c>
      <c r="E21" s="17">
        <v>0.1</v>
      </c>
    </row>
  </sheetData>
  <protectedRanges>
    <protectedRange sqref="G5" name="Intervalo_Perfil"/>
  </protectedRanges>
  <dataValidations count="1">
    <dataValidation type="list" allowBlank="1" showInputMessage="1" showErrorMessage="1" sqref="G5" xr:uid="{583CDB3F-4F4A-49CC-96DD-ED7A41121CC4}">
      <formula1>$B$4:$B$21</formula1>
    </dataValidation>
  </dataValidation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0FFBF60F-6EC9-42DB-83D5-EB7FCB0D5C8F}">
            <xm:f>NOT(ISERROR(SEARCH($G$5,B1)))</xm:f>
            <xm:f>$G$5</xm:f>
            <x14:dxf>
              <font>
                <b/>
                <i val="0"/>
                <color auto="1"/>
              </font>
              <fill>
                <patternFill>
                  <bgColor theme="6" tint="0.59996337778862885"/>
                </patternFill>
              </fill>
            </x14:dxf>
          </x14:cfRule>
          <xm:sqref>B1:E1048576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App</vt:lpstr>
      <vt:lpstr>Perfil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Heloyse Silva</dc:creator>
  <cp:lastModifiedBy>Heloyse Silva</cp:lastModifiedBy>
  <dcterms:created xsi:type="dcterms:W3CDTF">2026-10-11T20:02:54Z</dcterms:created>
  <dcterms:modified xsi:type="dcterms:W3CDTF">2026-10-11T21:33:49Z</dcterms:modified>
</cp:coreProperties>
</file>